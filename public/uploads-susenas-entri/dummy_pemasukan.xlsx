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160" windowHeight="12030"/>
  </bookViews>
  <sheets>
    <sheet name="data" sheetId="1" r:id="rId1"/>
    <sheet name="contoh" sheetId="2" r:id="rId2"/>
  </sheets>
  <calcPr calcId="144525"/>
</workbook>
</file>

<file path=xl/sharedStrings.xml><?xml version="1.0" encoding="utf-8"?>
<sst xmlns="http://schemas.openxmlformats.org/spreadsheetml/2006/main" count="54" uniqueCount="20">
  <si>
    <t>Data Progress Penerimaan Kuesioner Susenas oleh IPDS</t>
  </si>
  <si>
    <t>kode kab [2 digit]</t>
  </si>
  <si>
    <t>kode NKS  [5 digit]</t>
  </si>
  <si>
    <t>No Urut Ruta  [max: 2 digit]</t>
  </si>
  <si>
    <t>Sudah Selesai? [sudah/belum]</t>
  </si>
  <si>
    <t>Nama PML</t>
  </si>
  <si>
    <t>Nama PPL</t>
  </si>
  <si>
    <t>Tanggal pemasukkan</t>
  </si>
  <si>
    <t xml:space="preserve">sudah </t>
  </si>
  <si>
    <t>john doe</t>
  </si>
  <si>
    <t>si fulan</t>
  </si>
  <si>
    <t>belum</t>
  </si>
  <si>
    <t>kode prop [2 digit]</t>
  </si>
  <si>
    <t>Tanggal penerimaan</t>
  </si>
  <si>
    <t>TT-BB-TTTT</t>
  </si>
  <si>
    <t>11</t>
  </si>
  <si>
    <t>01</t>
  </si>
  <si>
    <t>02345</t>
  </si>
  <si>
    <t>sudah</t>
  </si>
  <si>
    <t>22-09-2021</t>
  </si>
</sst>
</file>

<file path=xl/styles.xml><?xml version="1.0" encoding="utf-8"?>
<styleSheet xmlns="http://schemas.openxmlformats.org/spreadsheetml/2006/main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176" formatCode="m/d/yyyy;@"/>
    <numFmt numFmtId="43" formatCode="_(* #,##0.00_);_(* \(#,##0.00\);_(* &quot;-&quot;??_);_(@_)"/>
  </numFmts>
  <fonts count="22">
    <font>
      <sz val="11"/>
      <color theme="1"/>
      <name val="Calibri"/>
      <charset val="0"/>
      <scheme val="minor"/>
    </font>
    <font>
      <b/>
      <sz val="11"/>
      <color rgb="FFFFFFFF"/>
      <name val="Times New Roman"/>
      <charset val="0"/>
    </font>
    <font>
      <sz val="11"/>
      <color rgb="FFFFFFFF"/>
      <name val="Times New Roman"/>
      <charset val="0"/>
    </font>
    <font>
      <sz val="11"/>
      <color rgb="FF000000"/>
      <name val="Times New Roman"/>
      <charset val="0"/>
    </font>
    <font>
      <b/>
      <sz val="11"/>
      <color rgb="FF3F3F3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0"/>
      <scheme val="minor"/>
    </font>
    <font>
      <sz val="11"/>
      <color rgb="FF3F3F7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5"/>
      <color theme="3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sz val="18"/>
      <color theme="3"/>
      <name val="Calibri Light"/>
      <charset val="0"/>
      <scheme val="major"/>
    </font>
    <font>
      <b/>
      <sz val="11"/>
      <color theme="0"/>
      <name val="Calibri"/>
      <charset val="0"/>
      <scheme val="minor"/>
    </font>
    <font>
      <sz val="11"/>
      <color rgb="FF0061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74706"/>
        <bgColor indexed="64"/>
      </patternFill>
    </fill>
    <fill>
      <patternFill patternType="solid">
        <fgColor rgb="FFE26B0A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0" fontId="5" fillId="21" borderId="0" applyNumberFormat="0" applyBorder="0" applyAlignment="0" applyProtection="0"/>
    <xf numFmtId="0" fontId="0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31" borderId="0" applyNumberFormat="0" applyBorder="0" applyAlignment="0" applyProtection="0"/>
    <xf numFmtId="0" fontId="0" fillId="7" borderId="0" applyNumberFormat="0" applyBorder="0" applyAlignment="0" applyProtection="0"/>
    <xf numFmtId="0" fontId="0" fillId="22" borderId="0" applyNumberFormat="0" applyBorder="0" applyAlignment="0" applyProtection="0"/>
    <xf numFmtId="0" fontId="5" fillId="28" borderId="0" applyNumberFormat="0" applyBorder="0" applyAlignment="0" applyProtection="0"/>
    <xf numFmtId="0" fontId="5" fillId="30" borderId="0" applyNumberFormat="0" applyBorder="0" applyAlignment="0" applyProtection="0"/>
    <xf numFmtId="0" fontId="0" fillId="18" borderId="0" applyNumberFormat="0" applyBorder="0" applyAlignment="0" applyProtection="0"/>
    <xf numFmtId="0" fontId="5" fillId="25" borderId="0" applyNumberFormat="0" applyBorder="0" applyAlignment="0" applyProtection="0"/>
    <xf numFmtId="0" fontId="16" fillId="0" borderId="16" applyNumberFormat="0" applyFill="0" applyAlignment="0" applyProtection="0"/>
    <xf numFmtId="0" fontId="0" fillId="10" borderId="0" applyNumberFormat="0" applyBorder="0" applyAlignment="0" applyProtection="0"/>
    <xf numFmtId="0" fontId="5" fillId="15" borderId="0" applyNumberFormat="0" applyBorder="0" applyAlignment="0" applyProtection="0"/>
    <xf numFmtId="0" fontId="5" fillId="20" borderId="0" applyNumberFormat="0" applyBorder="0" applyAlignment="0" applyProtection="0"/>
    <xf numFmtId="0" fontId="0" fillId="26" borderId="0" applyNumberFormat="0" applyBorder="0" applyAlignment="0" applyProtection="0"/>
    <xf numFmtId="0" fontId="0" fillId="34" borderId="0" applyNumberFormat="0" applyBorder="0" applyAlignment="0" applyProtection="0"/>
    <xf numFmtId="0" fontId="5" fillId="4" borderId="0" applyNumberFormat="0" applyBorder="0" applyAlignment="0" applyProtection="0"/>
    <xf numFmtId="0" fontId="0" fillId="23" borderId="0" applyNumberFormat="0" applyBorder="0" applyAlignment="0" applyProtection="0"/>
    <xf numFmtId="0" fontId="0" fillId="14" borderId="0" applyNumberFormat="0" applyBorder="0" applyAlignment="0" applyProtection="0"/>
    <xf numFmtId="0" fontId="5" fillId="33" borderId="0" applyNumberFormat="0" applyBorder="0" applyAlignment="0" applyProtection="0"/>
    <xf numFmtId="0" fontId="21" fillId="32" borderId="0" applyNumberFormat="0" applyBorder="0" applyAlignment="0" applyProtection="0"/>
    <xf numFmtId="0" fontId="5" fillId="19" borderId="0" applyNumberFormat="0" applyBorder="0" applyAlignment="0" applyProtection="0"/>
    <xf numFmtId="0" fontId="15" fillId="12" borderId="0" applyNumberFormat="0" applyBorder="0" applyAlignment="0" applyProtection="0"/>
    <xf numFmtId="0" fontId="0" fillId="24" borderId="0" applyNumberFormat="0" applyBorder="0" applyAlignment="0" applyProtection="0"/>
    <xf numFmtId="0" fontId="13" fillId="0" borderId="14" applyNumberFormat="0" applyFill="0" applyAlignment="0" applyProtection="0"/>
    <xf numFmtId="0" fontId="4" fillId="5" borderId="9" applyNumberFormat="0" applyAlignment="0" applyProtection="0"/>
    <xf numFmtId="44" fontId="0" fillId="0" borderId="0" applyFont="0" applyFill="0" applyBorder="0" applyAlignment="0" applyProtection="0"/>
    <xf numFmtId="0" fontId="0" fillId="11" borderId="0" applyNumberFormat="0" applyBorder="0" applyAlignment="0" applyProtection="0"/>
    <xf numFmtId="0" fontId="0" fillId="17" borderId="15" applyNumberFormat="0" applyFont="0" applyAlignment="0" applyProtection="0"/>
    <xf numFmtId="0" fontId="7" fillId="8" borderId="11" applyNumberFormat="0" applyAlignment="0" applyProtection="0"/>
    <xf numFmtId="0" fontId="12" fillId="0" borderId="0" applyNumberFormat="0" applyFill="0" applyBorder="0" applyAlignment="0" applyProtection="0"/>
    <xf numFmtId="0" fontId="14" fillId="5" borderId="11" applyNumberFormat="0" applyAlignment="0" applyProtection="0"/>
    <xf numFmtId="0" fontId="19" fillId="29" borderId="0" applyNumberFormat="0" applyBorder="0" applyAlignment="0" applyProtection="0"/>
    <xf numFmtId="0" fontId="12" fillId="0" borderId="13" applyNumberFormat="0" applyFill="0" applyAlignment="0" applyProtection="0"/>
    <xf numFmtId="0" fontId="11" fillId="0" borderId="0" applyNumberFormat="0" applyFill="0" applyBorder="0" applyAlignment="0" applyProtection="0"/>
    <xf numFmtId="0" fontId="10" fillId="0" borderId="12" applyNumberFormat="0" applyFill="0" applyAlignment="0" applyProtection="0"/>
    <xf numFmtId="41" fontId="0" fillId="0" borderId="0" applyFont="0" applyFill="0" applyBorder="0" applyAlignment="0" applyProtection="0"/>
    <xf numFmtId="0" fontId="0" fillId="9" borderId="0" applyNumberFormat="0" applyBorder="0" applyAlignment="0" applyProtection="0"/>
    <xf numFmtId="0" fontId="17" fillId="0" borderId="0" applyNumberFormat="0" applyFill="0" applyBorder="0" applyAlignment="0" applyProtection="0"/>
    <xf numFmtId="42" fontId="0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>
      <alignment vertical="center"/>
    </xf>
    <xf numFmtId="0" fontId="6" fillId="0" borderId="10" applyNumberFormat="0" applyFill="0" applyAlignment="0" applyProtection="0"/>
    <xf numFmtId="43" fontId="0" fillId="0" borderId="0" applyFont="0" applyFill="0" applyBorder="0" applyAlignment="0" applyProtection="0"/>
    <xf numFmtId="0" fontId="18" fillId="27" borderId="17" applyNumberFormat="0" applyAlignment="0" applyProtection="0"/>
    <xf numFmtId="0" fontId="5" fillId="6" borderId="0" applyNumberFormat="0" applyBorder="0" applyAlignment="0" applyProtection="0"/>
    <xf numFmtId="9" fontId="0" fillId="0" borderId="0" applyFont="0" applyFill="0" applyBorder="0" applyAlignment="0" applyProtection="0"/>
    <xf numFmtId="0" fontId="20" fillId="0" borderId="0" applyNumberFormat="0" applyFill="0" applyBorder="0" applyAlignment="0" applyProtection="0">
      <alignment vertical="center"/>
    </xf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 wrapText="1"/>
    </xf>
    <xf numFmtId="58" fontId="0" fillId="0" borderId="0" xfId="0" applyNumberFormat="1"/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 wrapText="1"/>
    </xf>
    <xf numFmtId="0" fontId="0" fillId="0" borderId="8" xfId="0" applyBorder="1"/>
    <xf numFmtId="176" fontId="3" fillId="0" borderId="8" xfId="0" applyNumberFormat="1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0" xfId="0" quotePrefix="1"/>
    <xf numFmtId="58" fontId="0" fillId="0" borderId="0" xfId="0" applyNumberFormat="1" quotePrefix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colors>
    <mruColors>
      <color rgb="00ED7D31"/>
      <color rgb="00E26B0A"/>
      <color rgb="00974706"/>
      <color rgb="00000000"/>
      <color rgb="00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tabSelected="1" zoomScaleSheetLayoutView="60" workbookViewId="0">
      <selection activeCell="A2" sqref="A2"/>
    </sheetView>
  </sheetViews>
  <sheetFormatPr defaultColWidth="9" defaultRowHeight="14.25" outlineLevelCol="7"/>
  <cols>
    <col min="1" max="1" width="18.3333333333333" customWidth="1"/>
    <col min="2" max="2" width="18.1083333333333" customWidth="1"/>
    <col min="3" max="3" width="18.6666666666667" customWidth="1"/>
    <col min="4" max="4" width="15.6666666666667" customWidth="1"/>
    <col min="5" max="5" width="18" customWidth="1"/>
    <col min="6" max="6" width="18.1083333333333" customWidth="1"/>
    <col min="8" max="8" width="13.75" customWidth="1"/>
  </cols>
  <sheetData>
    <row r="1" spans="1:6">
      <c r="A1" s="1" t="s">
        <v>0</v>
      </c>
      <c r="B1" s="2"/>
      <c r="C1" s="2"/>
      <c r="D1" s="2"/>
      <c r="E1" s="2"/>
      <c r="F1" s="7"/>
    </row>
    <row r="2" ht="28.5" spans="1:8">
      <c r="A2" s="10">
        <v>1</v>
      </c>
      <c r="B2" s="11" t="s">
        <v>1</v>
      </c>
      <c r="C2" s="11" t="s">
        <v>2</v>
      </c>
      <c r="D2" s="11" t="s">
        <v>3</v>
      </c>
      <c r="E2" s="11" t="s">
        <v>4</v>
      </c>
      <c r="F2" s="11" t="s">
        <v>5</v>
      </c>
      <c r="G2" s="11" t="s">
        <v>6</v>
      </c>
      <c r="H2" s="15" t="s">
        <v>7</v>
      </c>
    </row>
    <row r="3" spans="1:8">
      <c r="A3" s="12">
        <v>1</v>
      </c>
      <c r="B3" s="13">
        <f ca="1">RANDBETWEEN(10,99)</f>
        <v>60</v>
      </c>
      <c r="C3" s="13">
        <f ca="1">RANDBETWEEN(10000,99999)</f>
        <v>54844</v>
      </c>
      <c r="D3" s="13">
        <f ca="1">RANDBETWEEN(10,99)</f>
        <v>90</v>
      </c>
      <c r="E3" s="12" t="s">
        <v>8</v>
      </c>
      <c r="F3" s="16" t="s">
        <v>9</v>
      </c>
      <c r="G3" s="16" t="s">
        <v>10</v>
      </c>
      <c r="H3" s="17">
        <v>41245</v>
      </c>
    </row>
    <row r="4" spans="1:8">
      <c r="A4" s="14">
        <v>1</v>
      </c>
      <c r="B4" s="13">
        <f ca="1">RANDBETWEEN(10,99)</f>
        <v>30</v>
      </c>
      <c r="C4" s="13">
        <f ca="1" t="shared" ref="C4:C13" si="0">RANDBETWEEN(10000,99999)</f>
        <v>76117</v>
      </c>
      <c r="D4" s="13">
        <f ca="1" t="shared" ref="D4:D13" si="1">RANDBETWEEN(10,99)</f>
        <v>41</v>
      </c>
      <c r="E4" s="18" t="s">
        <v>11</v>
      </c>
      <c r="F4" s="16" t="s">
        <v>9</v>
      </c>
      <c r="G4" s="16" t="s">
        <v>10</v>
      </c>
      <c r="H4" s="17">
        <v>41246</v>
      </c>
    </row>
    <row r="5" spans="1:8">
      <c r="A5" s="12">
        <v>1</v>
      </c>
      <c r="B5" s="13">
        <f ca="1" t="shared" ref="B5:B13" si="2">RANDBETWEEN(10,99)</f>
        <v>62</v>
      </c>
      <c r="C5" s="13">
        <f ca="1" t="shared" si="0"/>
        <v>23789</v>
      </c>
      <c r="D5" s="13">
        <f ca="1" t="shared" si="1"/>
        <v>97</v>
      </c>
      <c r="E5" s="12" t="s">
        <v>8</v>
      </c>
      <c r="F5" s="16" t="s">
        <v>9</v>
      </c>
      <c r="G5" s="16" t="s">
        <v>10</v>
      </c>
      <c r="H5" s="17">
        <v>41247</v>
      </c>
    </row>
    <row r="6" spans="1:8">
      <c r="A6" s="14">
        <v>1</v>
      </c>
      <c r="B6" s="13">
        <f ca="1" t="shared" si="2"/>
        <v>59</v>
      </c>
      <c r="C6" s="13">
        <f ca="1" t="shared" si="0"/>
        <v>38079</v>
      </c>
      <c r="D6" s="13">
        <f ca="1" t="shared" si="1"/>
        <v>36</v>
      </c>
      <c r="E6" s="18" t="s">
        <v>11</v>
      </c>
      <c r="F6" s="16" t="s">
        <v>9</v>
      </c>
      <c r="G6" s="16" t="s">
        <v>10</v>
      </c>
      <c r="H6" s="17">
        <v>41248</v>
      </c>
    </row>
    <row r="7" spans="1:8">
      <c r="A7" s="12">
        <v>1</v>
      </c>
      <c r="B7" s="13">
        <f ca="1" t="shared" si="2"/>
        <v>30</v>
      </c>
      <c r="C7" s="13">
        <f ca="1" t="shared" si="0"/>
        <v>63503</v>
      </c>
      <c r="D7" s="13">
        <f ca="1" t="shared" si="1"/>
        <v>57</v>
      </c>
      <c r="E7" s="12" t="s">
        <v>8</v>
      </c>
      <c r="F7" s="16" t="s">
        <v>9</v>
      </c>
      <c r="G7" s="16" t="s">
        <v>10</v>
      </c>
      <c r="H7" s="17">
        <v>41249</v>
      </c>
    </row>
    <row r="8" spans="1:8">
      <c r="A8" s="14">
        <v>1</v>
      </c>
      <c r="B8" s="13">
        <f ca="1" t="shared" si="2"/>
        <v>88</v>
      </c>
      <c r="C8" s="13">
        <f ca="1" t="shared" si="0"/>
        <v>73387</v>
      </c>
      <c r="D8" s="13">
        <f ca="1" t="shared" si="1"/>
        <v>35</v>
      </c>
      <c r="E8" s="18" t="s">
        <v>11</v>
      </c>
      <c r="F8" s="16" t="s">
        <v>9</v>
      </c>
      <c r="G8" s="16" t="s">
        <v>10</v>
      </c>
      <c r="H8" s="17">
        <v>41250</v>
      </c>
    </row>
    <row r="9" spans="1:8">
      <c r="A9" s="12">
        <v>1</v>
      </c>
      <c r="B9" s="13">
        <f ca="1" t="shared" si="2"/>
        <v>65</v>
      </c>
      <c r="C9" s="13">
        <f ca="1" t="shared" si="0"/>
        <v>17922</v>
      </c>
      <c r="D9" s="13">
        <f ca="1" t="shared" si="1"/>
        <v>62</v>
      </c>
      <c r="E9" s="12" t="s">
        <v>8</v>
      </c>
      <c r="F9" s="16" t="s">
        <v>9</v>
      </c>
      <c r="G9" s="16" t="s">
        <v>10</v>
      </c>
      <c r="H9" s="17">
        <v>41251</v>
      </c>
    </row>
    <row r="10" spans="1:8">
      <c r="A10" s="14">
        <v>1</v>
      </c>
      <c r="B10" s="13">
        <f ca="1" t="shared" si="2"/>
        <v>23</v>
      </c>
      <c r="C10" s="13">
        <f ca="1" t="shared" si="0"/>
        <v>38033</v>
      </c>
      <c r="D10" s="13">
        <f ca="1" t="shared" si="1"/>
        <v>61</v>
      </c>
      <c r="E10" s="18" t="s">
        <v>11</v>
      </c>
      <c r="F10" s="16" t="s">
        <v>9</v>
      </c>
      <c r="G10" s="16" t="s">
        <v>10</v>
      </c>
      <c r="H10" s="17">
        <v>41252</v>
      </c>
    </row>
    <row r="11" spans="1:8">
      <c r="A11" s="12">
        <v>1</v>
      </c>
      <c r="B11" s="13">
        <f ca="1" t="shared" si="2"/>
        <v>86</v>
      </c>
      <c r="C11" s="13">
        <f ca="1" t="shared" si="0"/>
        <v>89656</v>
      </c>
      <c r="D11" s="13">
        <f ca="1" t="shared" si="1"/>
        <v>30</v>
      </c>
      <c r="E11" s="12" t="s">
        <v>8</v>
      </c>
      <c r="F11" s="16" t="s">
        <v>9</v>
      </c>
      <c r="G11" s="16" t="s">
        <v>10</v>
      </c>
      <c r="H11" s="17">
        <v>41253</v>
      </c>
    </row>
    <row r="12" spans="1:8">
      <c r="A12" s="14">
        <v>1</v>
      </c>
      <c r="B12" s="13">
        <f ca="1" t="shared" si="2"/>
        <v>58</v>
      </c>
      <c r="C12" s="13">
        <f ca="1" t="shared" si="0"/>
        <v>35118</v>
      </c>
      <c r="D12" s="13">
        <f ca="1" t="shared" si="1"/>
        <v>54</v>
      </c>
      <c r="E12" s="18" t="s">
        <v>11</v>
      </c>
      <c r="F12" s="16" t="s">
        <v>9</v>
      </c>
      <c r="G12" s="16" t="s">
        <v>10</v>
      </c>
      <c r="H12" s="17">
        <v>41254</v>
      </c>
    </row>
    <row r="13" spans="1:8">
      <c r="A13" s="12">
        <v>1</v>
      </c>
      <c r="B13" s="13">
        <f ca="1" t="shared" si="2"/>
        <v>58</v>
      </c>
      <c r="C13" s="13">
        <f ca="1" t="shared" si="0"/>
        <v>79244</v>
      </c>
      <c r="D13" s="13">
        <f ca="1" t="shared" si="1"/>
        <v>97</v>
      </c>
      <c r="E13" s="12" t="s">
        <v>8</v>
      </c>
      <c r="F13" s="16" t="s">
        <v>9</v>
      </c>
      <c r="G13" s="16" t="s">
        <v>10</v>
      </c>
      <c r="H13" s="17">
        <v>41255</v>
      </c>
    </row>
  </sheetData>
  <mergeCells count="1">
    <mergeCell ref="A1:F1"/>
  </mergeCells>
  <pageMargins left="0.7" right="0.7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zoomScaleSheetLayoutView="60" workbookViewId="0">
      <selection activeCell="C5" sqref="C5"/>
    </sheetView>
  </sheetViews>
  <sheetFormatPr defaultColWidth="9" defaultRowHeight="14.25" outlineLevelRow="3" outlineLevelCol="5"/>
  <cols>
    <col min="1" max="1" width="17.4416666666667" customWidth="1"/>
    <col min="2" max="2" width="17.5583333333333" customWidth="1"/>
    <col min="3" max="3" width="18.4416666666667" customWidth="1"/>
    <col min="4" max="4" width="25.1083333333333" customWidth="1"/>
    <col min="5" max="6" width="13.8833333333333" customWidth="1"/>
  </cols>
  <sheetData>
    <row r="1" ht="15" spans="1:6">
      <c r="A1" s="1" t="s">
        <v>0</v>
      </c>
      <c r="B1" s="2"/>
      <c r="C1" s="2"/>
      <c r="D1" s="2"/>
      <c r="E1" s="2"/>
      <c r="F1" s="7"/>
    </row>
    <row r="2" ht="29.25" spans="1:6">
      <c r="A2" s="3" t="s">
        <v>12</v>
      </c>
      <c r="B2" s="4" t="s">
        <v>1</v>
      </c>
      <c r="C2" s="4" t="s">
        <v>2</v>
      </c>
      <c r="D2" s="4" t="s">
        <v>3</v>
      </c>
      <c r="E2" s="4" t="s">
        <v>4</v>
      </c>
      <c r="F2" s="8" t="s">
        <v>13</v>
      </c>
    </row>
    <row r="3" ht="15" spans="1:6">
      <c r="A3" s="5"/>
      <c r="B3" s="6"/>
      <c r="C3" s="6"/>
      <c r="D3" s="6"/>
      <c r="E3" s="6"/>
      <c r="F3" s="6" t="s">
        <v>14</v>
      </c>
    </row>
    <row r="4" spans="1:6">
      <c r="A4" s="19" t="s">
        <v>15</v>
      </c>
      <c r="B4" s="19" t="s">
        <v>16</v>
      </c>
      <c r="C4" s="19" t="s">
        <v>17</v>
      </c>
      <c r="D4">
        <v>1</v>
      </c>
      <c r="E4" t="s">
        <v>18</v>
      </c>
      <c r="F4" s="20" t="s">
        <v>19</v>
      </c>
    </row>
  </sheetData>
  <mergeCells count="1">
    <mergeCell ref="A1:F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BPS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</vt:lpstr>
      <vt:lpstr>contoh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BPS-Trainer02</dc:creator>
  <cp:lastModifiedBy>nzy</cp:lastModifiedBy>
  <dcterms:created xsi:type="dcterms:W3CDTF">2021-09-23T13:51:00Z</dcterms:created>
  <dcterms:modified xsi:type="dcterms:W3CDTF">2026-01-26T11:31:46Z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